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hrome Download\"/>
    </mc:Choice>
  </mc:AlternateContent>
  <xr:revisionPtr revIDLastSave="0" documentId="13_ncr:1_{71C0623B-18A7-44DD-B20C-115E8909D2B1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Patients" sheetId="1" r:id="rId1"/>
    <sheet name="Doctors" sheetId="2" r:id="rId2"/>
    <sheet name="Appointments" sheetId="3" r:id="rId3"/>
    <sheet name="Billing" sheetId="4" r:id="rId4"/>
    <sheet name="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4" l="1"/>
  <c r="B6" i="5"/>
  <c r="B5" i="5"/>
  <c r="G21" i="4"/>
  <c r="D21" i="4"/>
  <c r="F21" i="4" s="1"/>
  <c r="G20" i="4"/>
  <c r="D20" i="4"/>
  <c r="F20" i="4" s="1"/>
  <c r="G19" i="4"/>
  <c r="D19" i="4"/>
  <c r="F19" i="4" s="1"/>
  <c r="G18" i="4"/>
  <c r="D18" i="4"/>
  <c r="F18" i="4" s="1"/>
  <c r="G17" i="4"/>
  <c r="D17" i="4"/>
  <c r="F17" i="4" s="1"/>
  <c r="G16" i="4"/>
  <c r="D16" i="4"/>
  <c r="F16" i="4" s="1"/>
  <c r="G15" i="4"/>
  <c r="D15" i="4"/>
  <c r="F15" i="4" s="1"/>
  <c r="G14" i="4"/>
  <c r="D14" i="4"/>
  <c r="F14" i="4" s="1"/>
  <c r="G13" i="4"/>
  <c r="F13" i="4"/>
  <c r="D13" i="4"/>
  <c r="G12" i="4"/>
  <c r="F12" i="4"/>
  <c r="D12" i="4"/>
  <c r="G11" i="4"/>
  <c r="F11" i="4"/>
  <c r="D11" i="4"/>
  <c r="G10" i="4"/>
  <c r="D10" i="4"/>
  <c r="F10" i="4" s="1"/>
  <c r="G9" i="4"/>
  <c r="D9" i="4"/>
  <c r="F9" i="4" s="1"/>
  <c r="G8" i="4"/>
  <c r="D8" i="4"/>
  <c r="F8" i="4" s="1"/>
  <c r="G7" i="4"/>
  <c r="D7" i="4"/>
  <c r="F7" i="4" s="1"/>
  <c r="G6" i="4"/>
  <c r="D6" i="4"/>
  <c r="F6" i="4" s="1"/>
  <c r="G5" i="4"/>
  <c r="F5" i="4"/>
  <c r="D5" i="4"/>
  <c r="G4" i="4"/>
  <c r="F4" i="4"/>
  <c r="D4" i="4"/>
  <c r="G3" i="4"/>
  <c r="F3" i="4"/>
  <c r="D3" i="4"/>
  <c r="D2" i="4"/>
  <c r="F2" i="4" s="1"/>
  <c r="B4" i="5" l="1"/>
  <c r="B3" i="5"/>
  <c r="B2" i="5"/>
  <c r="B1" i="5"/>
</calcChain>
</file>

<file path=xl/sharedStrings.xml><?xml version="1.0" encoding="utf-8"?>
<sst xmlns="http://schemas.openxmlformats.org/spreadsheetml/2006/main" count="348" uniqueCount="186">
  <si>
    <t>Patient_ID</t>
  </si>
  <si>
    <t>Name</t>
  </si>
  <si>
    <t>Age</t>
  </si>
  <si>
    <t>Gender</t>
  </si>
  <si>
    <t>City</t>
  </si>
  <si>
    <t>Disease</t>
  </si>
  <si>
    <t>P001</t>
  </si>
  <si>
    <t>Rahul</t>
  </si>
  <si>
    <t>M</t>
  </si>
  <si>
    <t>Chennai</t>
  </si>
  <si>
    <t>Fracture</t>
  </si>
  <si>
    <t>P002</t>
  </si>
  <si>
    <t>Priya</t>
  </si>
  <si>
    <t>F</t>
  </si>
  <si>
    <t>Mumbai</t>
  </si>
  <si>
    <t>P003</t>
  </si>
  <si>
    <t>Aman</t>
  </si>
  <si>
    <t>Bhopal</t>
  </si>
  <si>
    <t>Cold</t>
  </si>
  <si>
    <t>P004</t>
  </si>
  <si>
    <t>Neha</t>
  </si>
  <si>
    <t>Fever</t>
  </si>
  <si>
    <t>P005</t>
  </si>
  <si>
    <t>Ravi</t>
  </si>
  <si>
    <t>P006</t>
  </si>
  <si>
    <t>Anita</t>
  </si>
  <si>
    <t>Indore</t>
  </si>
  <si>
    <t>Allergy</t>
  </si>
  <si>
    <t>P007</t>
  </si>
  <si>
    <t>Vikas</t>
  </si>
  <si>
    <t>Kolkata</t>
  </si>
  <si>
    <t>P008</t>
  </si>
  <si>
    <t>Pooja</t>
  </si>
  <si>
    <t>P009</t>
  </si>
  <si>
    <t>Sanjay</t>
  </si>
  <si>
    <t>Patna</t>
  </si>
  <si>
    <t>Infection</t>
  </si>
  <si>
    <t>P010</t>
  </si>
  <si>
    <t>Kavita</t>
  </si>
  <si>
    <t>P011</t>
  </si>
  <si>
    <t>Arjun</t>
  </si>
  <si>
    <t>Pune</t>
  </si>
  <si>
    <t>P012</t>
  </si>
  <si>
    <t>Meena</t>
  </si>
  <si>
    <t>P013</t>
  </si>
  <si>
    <t>Deepak</t>
  </si>
  <si>
    <t>Delhi</t>
  </si>
  <si>
    <t>P014</t>
  </si>
  <si>
    <t>Sonia</t>
  </si>
  <si>
    <t>P015</t>
  </si>
  <si>
    <t>Karan</t>
  </si>
  <si>
    <t>P016</t>
  </si>
  <si>
    <t>Ritika</t>
  </si>
  <si>
    <t>Lucknow</t>
  </si>
  <si>
    <t>P017</t>
  </si>
  <si>
    <t>Mohit</t>
  </si>
  <si>
    <t>P018</t>
  </si>
  <si>
    <t>Nisha</t>
  </si>
  <si>
    <t>P019</t>
  </si>
  <si>
    <t>Amit</t>
  </si>
  <si>
    <t>Jaipur</t>
  </si>
  <si>
    <t>P020</t>
  </si>
  <si>
    <t>Kunal</t>
  </si>
  <si>
    <t>Doctor_ID</t>
  </si>
  <si>
    <t>Specialization</t>
  </si>
  <si>
    <t>Fees</t>
  </si>
  <si>
    <t>D001</t>
  </si>
  <si>
    <t>Dr. Rahul</t>
  </si>
  <si>
    <t>General</t>
  </si>
  <si>
    <t>D002</t>
  </si>
  <si>
    <t>Dr. Priya</t>
  </si>
  <si>
    <t>Dermatologist</t>
  </si>
  <si>
    <t>D003</t>
  </si>
  <si>
    <t>Dr. Aman</t>
  </si>
  <si>
    <t>D004</t>
  </si>
  <si>
    <t>Dr. Neha</t>
  </si>
  <si>
    <t>D005</t>
  </si>
  <si>
    <t>Dr. Ravi</t>
  </si>
  <si>
    <t>D006</t>
  </si>
  <si>
    <t>Dr. Anita</t>
  </si>
  <si>
    <t>Orthopedic</t>
  </si>
  <si>
    <t>D007</t>
  </si>
  <si>
    <t>Dr. Vikas</t>
  </si>
  <si>
    <t>D008</t>
  </si>
  <si>
    <t>Dr. Pooja</t>
  </si>
  <si>
    <t>Cardiologist</t>
  </si>
  <si>
    <t>D009</t>
  </si>
  <si>
    <t>Dr. Sanjay</t>
  </si>
  <si>
    <t>D010</t>
  </si>
  <si>
    <t>Dr. Kavita</t>
  </si>
  <si>
    <t>Neurologist</t>
  </si>
  <si>
    <t>D011</t>
  </si>
  <si>
    <t>Dr. Arjun</t>
  </si>
  <si>
    <t>D012</t>
  </si>
  <si>
    <t>Dr. Meena</t>
  </si>
  <si>
    <t>D013</t>
  </si>
  <si>
    <t>Dr. Deepak</t>
  </si>
  <si>
    <t>D014</t>
  </si>
  <si>
    <t>Dr. Sonia</t>
  </si>
  <si>
    <t>D015</t>
  </si>
  <si>
    <t>Dr. Karan</t>
  </si>
  <si>
    <t>D016</t>
  </si>
  <si>
    <t>Dr. Ritika</t>
  </si>
  <si>
    <t>D017</t>
  </si>
  <si>
    <t>Dr. Mohit</t>
  </si>
  <si>
    <t>D018</t>
  </si>
  <si>
    <t>Dr. Nisha</t>
  </si>
  <si>
    <t>D019</t>
  </si>
  <si>
    <t>Dr. Amit</t>
  </si>
  <si>
    <t>D020</t>
  </si>
  <si>
    <t>Dr. Kunal</t>
  </si>
  <si>
    <t>App_ID</t>
  </si>
  <si>
    <t>Date</t>
  </si>
  <si>
    <t>Status</t>
  </si>
  <si>
    <t>A001</t>
  </si>
  <si>
    <t>01-04-2026</t>
  </si>
  <si>
    <t>Done</t>
  </si>
  <si>
    <t>A002</t>
  </si>
  <si>
    <t>02-04-2026</t>
  </si>
  <si>
    <t>A003</t>
  </si>
  <si>
    <t>03-04-2026</t>
  </si>
  <si>
    <t>Pending</t>
  </si>
  <si>
    <t>A004</t>
  </si>
  <si>
    <t>04-04-2026</t>
  </si>
  <si>
    <t>A005</t>
  </si>
  <si>
    <t>05-04-2026</t>
  </si>
  <si>
    <t>A006</t>
  </si>
  <si>
    <t>06-04-2026</t>
  </si>
  <si>
    <t>A007</t>
  </si>
  <si>
    <t>07-04-2026</t>
  </si>
  <si>
    <t>A008</t>
  </si>
  <si>
    <t>08-04-2026</t>
  </si>
  <si>
    <t>A009</t>
  </si>
  <si>
    <t>09-04-2026</t>
  </si>
  <si>
    <t>A010</t>
  </si>
  <si>
    <t>10-04-2026</t>
  </si>
  <si>
    <t>A011</t>
  </si>
  <si>
    <t>11-04-2026</t>
  </si>
  <si>
    <t>A012</t>
  </si>
  <si>
    <t>12-04-2026</t>
  </si>
  <si>
    <t>A013</t>
  </si>
  <si>
    <t>13-04-2026</t>
  </si>
  <si>
    <t>A014</t>
  </si>
  <si>
    <t>14-04-2026</t>
  </si>
  <si>
    <t>A015</t>
  </si>
  <si>
    <t>15-04-2026</t>
  </si>
  <si>
    <t>A016</t>
  </si>
  <si>
    <t>16-04-2026</t>
  </si>
  <si>
    <t>A017</t>
  </si>
  <si>
    <t>17-04-2026</t>
  </si>
  <si>
    <t>A018</t>
  </si>
  <si>
    <t>18-04-2026</t>
  </si>
  <si>
    <t>A019</t>
  </si>
  <si>
    <t>19-04-2026</t>
  </si>
  <si>
    <t>A020</t>
  </si>
  <si>
    <t>20-04-2026</t>
  </si>
  <si>
    <t>Bill_ID</t>
  </si>
  <si>
    <t>Medicine</t>
  </si>
  <si>
    <t>Total</t>
  </si>
  <si>
    <t>Patient_Name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</si>
  <si>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</si>
  <si>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</si>
  <si>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</si>
  <si>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</si>
  <si>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</si>
  <si>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</si>
  <si>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</si>
  <si>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</si>
  <si>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</si>
  <si>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</si>
  <si>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</si>
  <si>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</si>
  <si>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</si>
  <si>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</si>
  <si>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</si>
  <si>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</si>
  <si>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</si>
  <si>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</si>
  <si>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</si>
  <si>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</si>
  <si>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Total Revenue</t>
  </si>
  <si>
    <t>Average Bill</t>
  </si>
  <si>
    <t>Max Bill</t>
  </si>
  <si>
    <t>Min Bill</t>
  </si>
  <si>
    <t>Total Patients</t>
  </si>
  <si>
    <t>Completed Appointments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</si>
</sst>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/>
    <xf numFmtId="0" fontId="1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F2" sqref="F2"/>
    </sheetView>
  </sheetViews>
  <sheetFormatPr defaultRowHeight="14.25" x14ac:dyDescent="0.45"/>
  <cols>
    <col min="1" max="1" width="12.19921875" bestFit="1" customWidth="1"/>
    <col min="2" max="2" width="7.33203125" bestFit="1" customWidth="1"/>
    <col min="3" max="3" width="5.1328125" bestFit="1" customWidth="1"/>
    <col min="4" max="4" width="8.86328125" bestFit="1" customWidth="1"/>
    <col min="5" max="5" width="8.19921875" bestFit="1" customWidth="1"/>
    <col min="6" max="6" width="9.19921875" bestFit="1" customWidth="1"/>
  </cols>
  <sheetData>
    <row r="1" spans="1:6" ht="18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5">
      <c r="A2" s="1" t="s">
        <v>6</v>
      </c>
      <c r="B2" s="1" t="s">
        <v>7</v>
      </c>
      <c r="C2" s="1">
        <v>21</v>
      </c>
      <c r="D2" s="1" t="s">
        <v>8</v>
      </c>
      <c r="E2" s="1" t="s">
        <v>9</v>
      </c>
      <c r="F2" s="1" t="s">
        <v>10</v>
      </c>
    </row>
    <row r="3" spans="1:6" x14ac:dyDescent="0.45">
      <c r="A3" s="1" t="s">
        <v>11</v>
      </c>
      <c r="B3" s="1" t="s">
        <v>12</v>
      </c>
      <c r="C3" s="1">
        <v>19</v>
      </c>
      <c r="D3" s="1" t="s">
        <v>13</v>
      </c>
      <c r="E3" s="1" t="s">
        <v>14</v>
      </c>
      <c r="F3" s="1" t="s">
        <v>10</v>
      </c>
    </row>
    <row r="4" spans="1:6" x14ac:dyDescent="0.45">
      <c r="A4" s="1" t="s">
        <v>15</v>
      </c>
      <c r="B4" s="1" t="s">
        <v>16</v>
      </c>
      <c r="C4" s="1">
        <v>22</v>
      </c>
      <c r="D4" s="1" t="s">
        <v>8</v>
      </c>
      <c r="E4" s="1" t="s">
        <v>17</v>
      </c>
      <c r="F4" s="1" t="s">
        <v>18</v>
      </c>
    </row>
    <row r="5" spans="1:6" x14ac:dyDescent="0.45">
      <c r="A5" s="1" t="s">
        <v>19</v>
      </c>
      <c r="B5" s="1" t="s">
        <v>20</v>
      </c>
      <c r="C5" s="1">
        <v>21</v>
      </c>
      <c r="D5" s="1" t="s">
        <v>8</v>
      </c>
      <c r="E5" s="1" t="s">
        <v>9</v>
      </c>
      <c r="F5" s="1" t="s">
        <v>21</v>
      </c>
    </row>
    <row r="6" spans="1:6" x14ac:dyDescent="0.45">
      <c r="A6" s="1" t="s">
        <v>22</v>
      </c>
      <c r="B6" s="1" t="s">
        <v>23</v>
      </c>
      <c r="C6" s="1">
        <v>25</v>
      </c>
      <c r="D6" s="1" t="s">
        <v>13</v>
      </c>
      <c r="E6" s="1" t="s">
        <v>9</v>
      </c>
      <c r="F6" s="1" t="s">
        <v>21</v>
      </c>
    </row>
    <row r="7" spans="1:6" x14ac:dyDescent="0.45">
      <c r="A7" s="1" t="s">
        <v>24</v>
      </c>
      <c r="B7" s="1" t="s">
        <v>25</v>
      </c>
      <c r="C7" s="1">
        <v>36</v>
      </c>
      <c r="D7" s="1" t="s">
        <v>13</v>
      </c>
      <c r="E7" s="1" t="s">
        <v>26</v>
      </c>
      <c r="F7" s="1" t="s">
        <v>27</v>
      </c>
    </row>
    <row r="8" spans="1:6" x14ac:dyDescent="0.45">
      <c r="A8" s="1" t="s">
        <v>28</v>
      </c>
      <c r="B8" s="1" t="s">
        <v>29</v>
      </c>
      <c r="C8" s="1">
        <v>35</v>
      </c>
      <c r="D8" s="1" t="s">
        <v>13</v>
      </c>
      <c r="E8" s="1" t="s">
        <v>30</v>
      </c>
      <c r="F8" s="1" t="s">
        <v>27</v>
      </c>
    </row>
    <row r="9" spans="1:6" x14ac:dyDescent="0.45">
      <c r="A9" s="1" t="s">
        <v>31</v>
      </c>
      <c r="B9" s="1" t="s">
        <v>32</v>
      </c>
      <c r="C9" s="1">
        <v>18</v>
      </c>
      <c r="D9" s="1" t="s">
        <v>8</v>
      </c>
      <c r="E9" s="1" t="s">
        <v>14</v>
      </c>
      <c r="F9" s="1" t="s">
        <v>27</v>
      </c>
    </row>
    <row r="10" spans="1:6" x14ac:dyDescent="0.45">
      <c r="A10" s="1" t="s">
        <v>33</v>
      </c>
      <c r="B10" s="1" t="s">
        <v>34</v>
      </c>
      <c r="C10" s="1">
        <v>54</v>
      </c>
      <c r="D10" s="1" t="s">
        <v>13</v>
      </c>
      <c r="E10" s="1" t="s">
        <v>35</v>
      </c>
      <c r="F10" s="1" t="s">
        <v>36</v>
      </c>
    </row>
    <row r="11" spans="1:6" x14ac:dyDescent="0.45">
      <c r="A11" s="1" t="s">
        <v>37</v>
      </c>
      <c r="B11" s="1" t="s">
        <v>38</v>
      </c>
      <c r="C11" s="1">
        <v>29</v>
      </c>
      <c r="D11" s="1" t="s">
        <v>8</v>
      </c>
      <c r="E11" s="1" t="s">
        <v>35</v>
      </c>
      <c r="F11" s="1" t="s">
        <v>36</v>
      </c>
    </row>
    <row r="12" spans="1:6" x14ac:dyDescent="0.45">
      <c r="A12" s="1" t="s">
        <v>39</v>
      </c>
      <c r="B12" s="1" t="s">
        <v>40</v>
      </c>
      <c r="C12" s="1">
        <v>33</v>
      </c>
      <c r="D12" s="1" t="s">
        <v>13</v>
      </c>
      <c r="E12" s="1" t="s">
        <v>41</v>
      </c>
      <c r="F12" s="1" t="s">
        <v>27</v>
      </c>
    </row>
    <row r="13" spans="1:6" x14ac:dyDescent="0.45">
      <c r="A13" s="1" t="s">
        <v>42</v>
      </c>
      <c r="B13" s="1" t="s">
        <v>43</v>
      </c>
      <c r="C13" s="1">
        <v>52</v>
      </c>
      <c r="D13" s="1" t="s">
        <v>13</v>
      </c>
      <c r="E13" s="1" t="s">
        <v>41</v>
      </c>
      <c r="F13" s="1" t="s">
        <v>27</v>
      </c>
    </row>
    <row r="14" spans="1:6" x14ac:dyDescent="0.45">
      <c r="A14" s="1" t="s">
        <v>44</v>
      </c>
      <c r="B14" s="1" t="s">
        <v>45</v>
      </c>
      <c r="C14" s="1">
        <v>26</v>
      </c>
      <c r="D14" s="1" t="s">
        <v>8</v>
      </c>
      <c r="E14" s="1" t="s">
        <v>46</v>
      </c>
      <c r="F14" s="1" t="s">
        <v>27</v>
      </c>
    </row>
    <row r="15" spans="1:6" x14ac:dyDescent="0.45">
      <c r="A15" s="1" t="s">
        <v>47</v>
      </c>
      <c r="B15" s="1" t="s">
        <v>48</v>
      </c>
      <c r="C15" s="1">
        <v>34</v>
      </c>
      <c r="D15" s="1" t="s">
        <v>13</v>
      </c>
      <c r="E15" s="1" t="s">
        <v>17</v>
      </c>
      <c r="F15" s="1" t="s">
        <v>27</v>
      </c>
    </row>
    <row r="16" spans="1:6" x14ac:dyDescent="0.45">
      <c r="A16" s="1" t="s">
        <v>49</v>
      </c>
      <c r="B16" s="1" t="s">
        <v>50</v>
      </c>
      <c r="C16" s="1">
        <v>53</v>
      </c>
      <c r="D16" s="1" t="s">
        <v>8</v>
      </c>
      <c r="E16" s="1" t="s">
        <v>46</v>
      </c>
      <c r="F16" s="1" t="s">
        <v>18</v>
      </c>
    </row>
    <row r="17" spans="1:6" x14ac:dyDescent="0.45">
      <c r="A17" s="1" t="s">
        <v>51</v>
      </c>
      <c r="B17" s="1" t="s">
        <v>52</v>
      </c>
      <c r="C17" s="1">
        <v>30</v>
      </c>
      <c r="D17" s="1" t="s">
        <v>8</v>
      </c>
      <c r="E17" s="1" t="s">
        <v>53</v>
      </c>
      <c r="F17" s="1" t="s">
        <v>36</v>
      </c>
    </row>
    <row r="18" spans="1:6" x14ac:dyDescent="0.45">
      <c r="A18" s="1" t="s">
        <v>54</v>
      </c>
      <c r="B18" s="1" t="s">
        <v>55</v>
      </c>
      <c r="C18" s="1">
        <v>47</v>
      </c>
      <c r="D18" s="1" t="s">
        <v>13</v>
      </c>
      <c r="E18" s="1" t="s">
        <v>35</v>
      </c>
      <c r="F18" s="1" t="s">
        <v>21</v>
      </c>
    </row>
    <row r="19" spans="1:6" x14ac:dyDescent="0.45">
      <c r="A19" s="1" t="s">
        <v>56</v>
      </c>
      <c r="B19" s="1" t="s">
        <v>57</v>
      </c>
      <c r="C19" s="1">
        <v>33</v>
      </c>
      <c r="D19" s="1" t="s">
        <v>8</v>
      </c>
      <c r="E19" s="1" t="s">
        <v>9</v>
      </c>
      <c r="F19" s="1" t="s">
        <v>21</v>
      </c>
    </row>
    <row r="20" spans="1:6" x14ac:dyDescent="0.45">
      <c r="A20" s="1" t="s">
        <v>58</v>
      </c>
      <c r="B20" s="1" t="s">
        <v>59</v>
      </c>
      <c r="C20" s="1">
        <v>20</v>
      </c>
      <c r="D20" s="1" t="s">
        <v>8</v>
      </c>
      <c r="E20" s="1" t="s">
        <v>60</v>
      </c>
      <c r="F20" s="1" t="s">
        <v>27</v>
      </c>
    </row>
    <row r="21" spans="1:6" x14ac:dyDescent="0.45">
      <c r="A21" s="1" t="s">
        <v>61</v>
      </c>
      <c r="B21" s="1" t="s">
        <v>62</v>
      </c>
      <c r="C21" s="1">
        <v>20</v>
      </c>
      <c r="D21" s="1" t="s">
        <v>13</v>
      </c>
      <c r="E21" s="1" t="s">
        <v>60</v>
      </c>
      <c r="F21" s="1" t="s">
        <v>21</v>
      </c>
    </row>
  </sheetData>
  <conditionalFormatting sqref="C2:C1048576">
    <cfRule type="cellIs" dxfId="8" priority="1" operator="between">
      <formula>1</formula>
      <formula>40</formula>
    </cfRule>
    <cfRule type="cellIs" dxfId="7" priority="2" operator="greaterThan">
      <formula>40</formula>
    </cfRule>
    <cfRule type="cellIs" dxfId="6" priority="3" operator="between">
      <formula>1</formula>
      <formula>50</formula>
    </cfRule>
  </conditionalFormatting>
  <conditionalFormatting sqref="D1:D1048576">
    <cfRule type="cellIs" dxfId="5" priority="6" operator="equal">
      <formula>$D$3</formula>
    </cfRule>
    <cfRule type="cellIs" dxfId="4" priority="7" operator="equal">
      <formula>$D$2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D2" sqref="D2"/>
    </sheetView>
  </sheetViews>
  <sheetFormatPr defaultRowHeight="14.25" x14ac:dyDescent="0.45"/>
  <cols>
    <col min="1" max="1" width="11.796875" bestFit="1" customWidth="1"/>
    <col min="2" max="2" width="10" bestFit="1" customWidth="1"/>
    <col min="3" max="3" width="15.796875" bestFit="1" customWidth="1"/>
    <col min="4" max="4" width="5.86328125" bestFit="1" customWidth="1"/>
  </cols>
  <sheetData>
    <row r="1" spans="1:4" ht="18" x14ac:dyDescent="0.55000000000000004">
      <c r="A1" s="2" t="s">
        <v>63</v>
      </c>
      <c r="B1" s="2" t="s">
        <v>1</v>
      </c>
      <c r="C1" s="2" t="s">
        <v>64</v>
      </c>
      <c r="D1" s="2" t="s">
        <v>65</v>
      </c>
    </row>
    <row r="2" spans="1:4" x14ac:dyDescent="0.45">
      <c r="A2" s="1" t="s">
        <v>66</v>
      </c>
      <c r="B2" s="1" t="s">
        <v>67</v>
      </c>
      <c r="C2" s="1" t="s">
        <v>68</v>
      </c>
      <c r="D2" s="1">
        <v>612</v>
      </c>
    </row>
    <row r="3" spans="1:4" x14ac:dyDescent="0.45">
      <c r="A3" s="1" t="s">
        <v>69</v>
      </c>
      <c r="B3" s="1" t="s">
        <v>70</v>
      </c>
      <c r="C3" s="1" t="s">
        <v>71</v>
      </c>
      <c r="D3" s="1">
        <v>987</v>
      </c>
    </row>
    <row r="4" spans="1:4" x14ac:dyDescent="0.45">
      <c r="A4" s="1" t="s">
        <v>72</v>
      </c>
      <c r="B4" s="1" t="s">
        <v>73</v>
      </c>
      <c r="C4" s="1" t="s">
        <v>71</v>
      </c>
      <c r="D4" s="1">
        <v>363</v>
      </c>
    </row>
    <row r="5" spans="1:4" x14ac:dyDescent="0.45">
      <c r="A5" s="1" t="s">
        <v>74</v>
      </c>
      <c r="B5" s="1" t="s">
        <v>75</v>
      </c>
      <c r="C5" s="1" t="s">
        <v>71</v>
      </c>
      <c r="D5" s="1">
        <v>313</v>
      </c>
    </row>
    <row r="6" spans="1:4" x14ac:dyDescent="0.45">
      <c r="A6" s="1" t="s">
        <v>76</v>
      </c>
      <c r="B6" s="1" t="s">
        <v>77</v>
      </c>
      <c r="C6" s="1" t="s">
        <v>68</v>
      </c>
      <c r="D6" s="1">
        <v>953</v>
      </c>
    </row>
    <row r="7" spans="1:4" x14ac:dyDescent="0.45">
      <c r="A7" s="1" t="s">
        <v>78</v>
      </c>
      <c r="B7" s="1" t="s">
        <v>79</v>
      </c>
      <c r="C7" s="1" t="s">
        <v>80</v>
      </c>
      <c r="D7" s="1">
        <v>902</v>
      </c>
    </row>
    <row r="8" spans="1:4" x14ac:dyDescent="0.45">
      <c r="A8" s="1" t="s">
        <v>81</v>
      </c>
      <c r="B8" s="1" t="s">
        <v>82</v>
      </c>
      <c r="C8" s="1" t="s">
        <v>80</v>
      </c>
      <c r="D8" s="1">
        <v>878</v>
      </c>
    </row>
    <row r="9" spans="1:4" x14ac:dyDescent="0.45">
      <c r="A9" s="1" t="s">
        <v>83</v>
      </c>
      <c r="B9" s="1" t="s">
        <v>84</v>
      </c>
      <c r="C9" s="1" t="s">
        <v>85</v>
      </c>
      <c r="D9" s="1">
        <v>384</v>
      </c>
    </row>
    <row r="10" spans="1:4" x14ac:dyDescent="0.45">
      <c r="A10" s="1" t="s">
        <v>86</v>
      </c>
      <c r="B10" s="1" t="s">
        <v>87</v>
      </c>
      <c r="C10" s="1" t="s">
        <v>85</v>
      </c>
      <c r="D10" s="1">
        <v>742</v>
      </c>
    </row>
    <row r="11" spans="1:4" x14ac:dyDescent="0.45">
      <c r="A11" s="1" t="s">
        <v>88</v>
      </c>
      <c r="B11" s="1" t="s">
        <v>89</v>
      </c>
      <c r="C11" s="1" t="s">
        <v>90</v>
      </c>
      <c r="D11" s="1">
        <v>673</v>
      </c>
    </row>
    <row r="12" spans="1:4" x14ac:dyDescent="0.45">
      <c r="A12" s="1" t="s">
        <v>91</v>
      </c>
      <c r="B12" s="1" t="s">
        <v>92</v>
      </c>
      <c r="C12" s="1" t="s">
        <v>68</v>
      </c>
      <c r="D12" s="1">
        <v>520</v>
      </c>
    </row>
    <row r="13" spans="1:4" x14ac:dyDescent="0.45">
      <c r="A13" s="1" t="s">
        <v>93</v>
      </c>
      <c r="B13" s="1" t="s">
        <v>94</v>
      </c>
      <c r="C13" s="1" t="s">
        <v>68</v>
      </c>
      <c r="D13" s="1">
        <v>697</v>
      </c>
    </row>
    <row r="14" spans="1:4" x14ac:dyDescent="0.45">
      <c r="A14" s="1" t="s">
        <v>95</v>
      </c>
      <c r="B14" s="1" t="s">
        <v>96</v>
      </c>
      <c r="C14" s="1" t="s">
        <v>71</v>
      </c>
      <c r="D14" s="1">
        <v>690</v>
      </c>
    </row>
    <row r="15" spans="1:4" x14ac:dyDescent="0.45">
      <c r="A15" s="1" t="s">
        <v>97</v>
      </c>
      <c r="B15" s="1" t="s">
        <v>98</v>
      </c>
      <c r="C15" s="1" t="s">
        <v>68</v>
      </c>
      <c r="D15" s="1">
        <v>630</v>
      </c>
    </row>
    <row r="16" spans="1:4" x14ac:dyDescent="0.45">
      <c r="A16" s="1" t="s">
        <v>99</v>
      </c>
      <c r="B16" s="1" t="s">
        <v>100</v>
      </c>
      <c r="C16" s="1" t="s">
        <v>68</v>
      </c>
      <c r="D16" s="1">
        <v>825</v>
      </c>
    </row>
    <row r="17" spans="1:4" x14ac:dyDescent="0.45">
      <c r="A17" s="1" t="s">
        <v>101</v>
      </c>
      <c r="B17" s="1" t="s">
        <v>102</v>
      </c>
      <c r="C17" s="1" t="s">
        <v>68</v>
      </c>
      <c r="D17" s="1">
        <v>903</v>
      </c>
    </row>
    <row r="18" spans="1:4" x14ac:dyDescent="0.45">
      <c r="A18" s="1" t="s">
        <v>103</v>
      </c>
      <c r="B18" s="1" t="s">
        <v>104</v>
      </c>
      <c r="C18" s="1" t="s">
        <v>71</v>
      </c>
      <c r="D18" s="1">
        <v>735</v>
      </c>
    </row>
    <row r="19" spans="1:4" x14ac:dyDescent="0.45">
      <c r="A19" s="1" t="s">
        <v>105</v>
      </c>
      <c r="B19" s="1" t="s">
        <v>106</v>
      </c>
      <c r="C19" s="1" t="s">
        <v>68</v>
      </c>
      <c r="D19" s="1">
        <v>873</v>
      </c>
    </row>
    <row r="20" spans="1:4" x14ac:dyDescent="0.45">
      <c r="A20" s="1" t="s">
        <v>107</v>
      </c>
      <c r="B20" s="1" t="s">
        <v>108</v>
      </c>
      <c r="C20" s="1" t="s">
        <v>80</v>
      </c>
      <c r="D20" s="1">
        <v>667</v>
      </c>
    </row>
    <row r="21" spans="1:4" x14ac:dyDescent="0.45">
      <c r="A21" s="1" t="s">
        <v>109</v>
      </c>
      <c r="B21" s="1" t="s">
        <v>110</v>
      </c>
      <c r="C21" s="1" t="s">
        <v>85</v>
      </c>
      <c r="D21" s="1">
        <v>897</v>
      </c>
    </row>
  </sheetData>
  <conditionalFormatting sqref="D2:D1048576">
    <cfRule type="cellIs" dxfId="3" priority="1" operator="greaterThan">
      <formula>800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A2" sqref="A2"/>
    </sheetView>
  </sheetViews>
  <sheetFormatPr defaultRowHeight="14.25" x14ac:dyDescent="0.45"/>
  <cols>
    <col min="1" max="1" width="8.796875" bestFit="1" customWidth="1"/>
    <col min="2" max="2" width="12.19921875" bestFit="1" customWidth="1"/>
    <col min="3" max="3" width="11.796875" bestFit="1" customWidth="1"/>
    <col min="4" max="4" width="10.33203125" bestFit="1" customWidth="1"/>
    <col min="5" max="5" width="7.53125" bestFit="1" customWidth="1"/>
  </cols>
  <sheetData>
    <row r="1" spans="1:5" ht="18" x14ac:dyDescent="0.55000000000000004">
      <c r="A1" s="2" t="s">
        <v>111</v>
      </c>
      <c r="B1" s="2" t="s">
        <v>0</v>
      </c>
      <c r="C1" s="2" t="s">
        <v>63</v>
      </c>
      <c r="D1" s="2" t="s">
        <v>112</v>
      </c>
      <c r="E1" s="2" t="s">
        <v>113</v>
      </c>
    </row>
    <row r="2" spans="1:5" x14ac:dyDescent="0.45">
      <c r="A2" s="1" t="s">
        <v>114</v>
      </c>
      <c r="B2" s="1" t="s">
        <v>39</v>
      </c>
      <c r="C2" s="1" t="s">
        <v>72</v>
      </c>
      <c r="D2" s="1" t="s">
        <v>115</v>
      </c>
      <c r="E2" s="1" t="s">
        <v>116</v>
      </c>
    </row>
    <row r="3" spans="1:5" x14ac:dyDescent="0.45">
      <c r="A3" s="1" t="s">
        <v>117</v>
      </c>
      <c r="B3" s="1" t="s">
        <v>6</v>
      </c>
      <c r="C3" s="1" t="s">
        <v>76</v>
      </c>
      <c r="D3" s="1" t="s">
        <v>118</v>
      </c>
      <c r="E3" s="1" t="s">
        <v>116</v>
      </c>
    </row>
    <row r="4" spans="1:5" x14ac:dyDescent="0.45">
      <c r="A4" s="1" t="s">
        <v>119</v>
      </c>
      <c r="B4" s="1" t="s">
        <v>51</v>
      </c>
      <c r="C4" s="1" t="s">
        <v>103</v>
      </c>
      <c r="D4" s="1" t="s">
        <v>120</v>
      </c>
      <c r="E4" s="1" t="s">
        <v>121</v>
      </c>
    </row>
    <row r="5" spans="1:5" x14ac:dyDescent="0.45">
      <c r="A5" s="1" t="s">
        <v>122</v>
      </c>
      <c r="B5" s="1" t="s">
        <v>47</v>
      </c>
      <c r="C5" s="1" t="s">
        <v>105</v>
      </c>
      <c r="D5" s="1" t="s">
        <v>123</v>
      </c>
      <c r="E5" s="1" t="s">
        <v>121</v>
      </c>
    </row>
    <row r="6" spans="1:5" x14ac:dyDescent="0.45">
      <c r="A6" s="1" t="s">
        <v>124</v>
      </c>
      <c r="B6" s="1" t="s">
        <v>28</v>
      </c>
      <c r="C6" s="1" t="s">
        <v>81</v>
      </c>
      <c r="D6" s="1" t="s">
        <v>125</v>
      </c>
      <c r="E6" s="1" t="s">
        <v>116</v>
      </c>
    </row>
    <row r="7" spans="1:5" x14ac:dyDescent="0.45">
      <c r="A7" s="1" t="s">
        <v>126</v>
      </c>
      <c r="B7" s="1" t="s">
        <v>39</v>
      </c>
      <c r="C7" s="1" t="s">
        <v>88</v>
      </c>
      <c r="D7" s="1" t="s">
        <v>127</v>
      </c>
      <c r="E7" s="1" t="s">
        <v>121</v>
      </c>
    </row>
    <row r="8" spans="1:5" x14ac:dyDescent="0.45">
      <c r="A8" s="1" t="s">
        <v>128</v>
      </c>
      <c r="B8" s="1" t="s">
        <v>49</v>
      </c>
      <c r="C8" s="1" t="s">
        <v>88</v>
      </c>
      <c r="D8" s="1" t="s">
        <v>129</v>
      </c>
      <c r="E8" s="1" t="s">
        <v>121</v>
      </c>
    </row>
    <row r="9" spans="1:5" x14ac:dyDescent="0.45">
      <c r="A9" s="1" t="s">
        <v>130</v>
      </c>
      <c r="B9" s="1" t="s">
        <v>54</v>
      </c>
      <c r="C9" s="1" t="s">
        <v>81</v>
      </c>
      <c r="D9" s="1" t="s">
        <v>131</v>
      </c>
      <c r="E9" s="1" t="s">
        <v>121</v>
      </c>
    </row>
    <row r="10" spans="1:5" x14ac:dyDescent="0.45">
      <c r="A10" s="1" t="s">
        <v>132</v>
      </c>
      <c r="B10" s="1" t="s">
        <v>19</v>
      </c>
      <c r="C10" s="1" t="s">
        <v>107</v>
      </c>
      <c r="D10" s="1" t="s">
        <v>133</v>
      </c>
      <c r="E10" s="1" t="s">
        <v>121</v>
      </c>
    </row>
    <row r="11" spans="1:5" x14ac:dyDescent="0.45">
      <c r="A11" s="1" t="s">
        <v>134</v>
      </c>
      <c r="B11" s="1" t="s">
        <v>28</v>
      </c>
      <c r="C11" s="1" t="s">
        <v>95</v>
      </c>
      <c r="D11" s="1" t="s">
        <v>135</v>
      </c>
      <c r="E11" s="1" t="s">
        <v>121</v>
      </c>
    </row>
    <row r="12" spans="1:5" x14ac:dyDescent="0.45">
      <c r="A12" s="1" t="s">
        <v>136</v>
      </c>
      <c r="B12" s="1" t="s">
        <v>54</v>
      </c>
      <c r="C12" s="1" t="s">
        <v>76</v>
      </c>
      <c r="D12" s="1" t="s">
        <v>137</v>
      </c>
      <c r="E12" s="1" t="s">
        <v>116</v>
      </c>
    </row>
    <row r="13" spans="1:5" x14ac:dyDescent="0.45">
      <c r="A13" s="1" t="s">
        <v>138</v>
      </c>
      <c r="B13" s="1" t="s">
        <v>28</v>
      </c>
      <c r="C13" s="1" t="s">
        <v>109</v>
      </c>
      <c r="D13" s="1" t="s">
        <v>139</v>
      </c>
      <c r="E13" s="1" t="s">
        <v>121</v>
      </c>
    </row>
    <row r="14" spans="1:5" x14ac:dyDescent="0.45">
      <c r="A14" s="1" t="s">
        <v>140</v>
      </c>
      <c r="B14" s="1" t="s">
        <v>11</v>
      </c>
      <c r="C14" s="1" t="s">
        <v>74</v>
      </c>
      <c r="D14" s="1" t="s">
        <v>141</v>
      </c>
      <c r="E14" s="1" t="s">
        <v>121</v>
      </c>
    </row>
    <row r="15" spans="1:5" x14ac:dyDescent="0.45">
      <c r="A15" s="1" t="s">
        <v>142</v>
      </c>
      <c r="B15" s="1" t="s">
        <v>31</v>
      </c>
      <c r="C15" s="1" t="s">
        <v>81</v>
      </c>
      <c r="D15" s="1" t="s">
        <v>143</v>
      </c>
      <c r="E15" s="1" t="s">
        <v>121</v>
      </c>
    </row>
    <row r="16" spans="1:5" x14ac:dyDescent="0.45">
      <c r="A16" s="1" t="s">
        <v>144</v>
      </c>
      <c r="B16" s="1" t="s">
        <v>33</v>
      </c>
      <c r="C16" s="1" t="s">
        <v>93</v>
      </c>
      <c r="D16" s="1" t="s">
        <v>145</v>
      </c>
      <c r="E16" s="1" t="s">
        <v>121</v>
      </c>
    </row>
    <row r="17" spans="1:5" x14ac:dyDescent="0.45">
      <c r="A17" s="1" t="s">
        <v>146</v>
      </c>
      <c r="B17" s="1" t="s">
        <v>39</v>
      </c>
      <c r="C17" s="1" t="s">
        <v>103</v>
      </c>
      <c r="D17" s="1" t="s">
        <v>147</v>
      </c>
      <c r="E17" s="1" t="s">
        <v>116</v>
      </c>
    </row>
    <row r="18" spans="1:5" x14ac:dyDescent="0.45">
      <c r="A18" s="1" t="s">
        <v>148</v>
      </c>
      <c r="B18" s="1" t="s">
        <v>24</v>
      </c>
      <c r="C18" s="1" t="s">
        <v>78</v>
      </c>
      <c r="D18" s="1" t="s">
        <v>149</v>
      </c>
      <c r="E18" s="1" t="s">
        <v>121</v>
      </c>
    </row>
    <row r="19" spans="1:5" x14ac:dyDescent="0.45">
      <c r="A19" s="1" t="s">
        <v>150</v>
      </c>
      <c r="B19" s="1" t="s">
        <v>51</v>
      </c>
      <c r="C19" s="1" t="s">
        <v>78</v>
      </c>
      <c r="D19" s="1" t="s">
        <v>151</v>
      </c>
      <c r="E19" s="1" t="s">
        <v>121</v>
      </c>
    </row>
    <row r="20" spans="1:5" x14ac:dyDescent="0.45">
      <c r="A20" s="1" t="s">
        <v>152</v>
      </c>
      <c r="B20" s="1" t="s">
        <v>49</v>
      </c>
      <c r="C20" s="1" t="s">
        <v>99</v>
      </c>
      <c r="D20" s="1" t="s">
        <v>153</v>
      </c>
      <c r="E20" s="1" t="s">
        <v>121</v>
      </c>
    </row>
    <row r="21" spans="1:5" x14ac:dyDescent="0.45">
      <c r="A21" s="1" t="s">
        <v>154</v>
      </c>
      <c r="B21" s="1" t="s">
        <v>31</v>
      </c>
      <c r="C21" s="1" t="s">
        <v>109</v>
      </c>
      <c r="D21" s="1" t="s">
        <v>155</v>
      </c>
      <c r="E21" s="1" t="s">
        <v>121</v>
      </c>
    </row>
  </sheetData>
  <conditionalFormatting sqref="E1:E1048576">
    <cfRule type="cellIs" dxfId="2" priority="1" operator="equal">
      <formula>$E$4</formula>
    </cfRule>
    <cfRule type="cellIs" dxfId="1" priority="2" operator="equal">
      <formula>$E$2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tabSelected="1" workbookViewId="0">
      <selection activeCell="G2" sqref="G2"/>
    </sheetView>
  </sheetViews>
  <sheetFormatPr defaultRowHeight="14.25" x14ac:dyDescent="0.45"/>
  <cols>
    <col min="1" max="1" width="8" bestFit="1" customWidth="1"/>
    <col min="2" max="2" width="12.19921875" bestFit="1" customWidth="1"/>
    <col min="3" max="3" width="11.796875" bestFit="1" customWidth="1"/>
    <col min="4" max="4" width="5.86328125" bestFit="1" customWidth="1"/>
    <col min="5" max="5" width="11" bestFit="1" customWidth="1"/>
    <col min="6" max="6" width="6.33203125" bestFit="1" customWidth="1"/>
    <col min="7" max="7" width="16.33203125" bestFit="1" customWidth="1"/>
  </cols>
  <sheetData>
    <row r="1" spans="1:7" ht="18" x14ac:dyDescent="0.55000000000000004">
      <c r="A1" s="2" t="s">
        <v>156</v>
      </c>
      <c r="B1" s="2" t="s">
        <v>0</v>
      </c>
      <c r="C1" s="2" t="s">
        <v>63</v>
      </c>
      <c r="D1" s="2" t="s">
        <v>65</v>
      </c>
      <c r="E1" s="2" t="s">
        <v>157</v>
      </c>
      <c r="F1" s="2" t="s">
        <v>158</v>
      </c>
      <c r="G1" s="2" t="s">
        <v>159</v>
      </c>
    </row>
    <row r="2" spans="1:7" x14ac:dyDescent="0.45">
      <c r="A2" s="1" t="s">
        <v>160</v>
      </c>
      <c r="B2" s="1" t="s">
        <v>11</v>
      </c>
      <c r="C2" s="1" t="s">
        <v>72</v>
      </c>
      <c r="D2" s="1">
        <f>VLOOKUP(C2,Doctors!A:D,4,FALSE)</f>
        <v>363</v>
      </c>
      <c r="E2" s="1">
        <v>103</v>
      </c>
      <c r="F2" s="1">
        <f t="shared" ref="F2:F21" si="0">D2+E2</f>
        <v>466</v>
      </c>
      <c r="G2" s="1" t="str">
        <f>VLOOKUP(B2,Patients!A:F,2,FALSE)</f>
        <v>Priya</v>
      </c>
    </row>
    <row r="3" spans="1:7" x14ac:dyDescent="0.45">
      <c r="A3" s="1" t="s">
        <v>161</v>
      </c>
      <c r="B3" s="1" t="s">
        <v>61</v>
      </c>
      <c r="C3" s="1" t="s">
        <v>109</v>
      </c>
      <c r="D3" s="1">
        <f>VLOOKUP(C3,Doctors!A:D,4,FALSE)</f>
        <v>897</v>
      </c>
      <c r="E3" s="1">
        <v>154</v>
      </c>
      <c r="F3" s="1">
        <f t="shared" si="0"/>
        <v>1051</v>
      </c>
      <c r="G3" s="1" t="str">
        <f>VLOOKUP(B3,Patients!A:F,2,FALSE)</f>
        <v>Kunal</v>
      </c>
    </row>
    <row r="4" spans="1:7" x14ac:dyDescent="0.45">
      <c r="A4" s="1" t="s">
        <v>162</v>
      </c>
      <c r="B4" s="1" t="s">
        <v>15</v>
      </c>
      <c r="C4" s="1" t="s">
        <v>72</v>
      </c>
      <c r="D4" s="1">
        <f>VLOOKUP(C4,Doctors!A:D,4,FALSE)</f>
        <v>363</v>
      </c>
      <c r="E4" s="1">
        <v>239</v>
      </c>
      <c r="F4" s="1">
        <f t="shared" si="0"/>
        <v>602</v>
      </c>
      <c r="G4" s="1" t="str">
        <f>VLOOKUP(B4,Patients!A:F,2,FALSE)</f>
        <v>Aman</v>
      </c>
    </row>
    <row r="5" spans="1:7" x14ac:dyDescent="0.45">
      <c r="A5" s="1" t="s">
        <v>163</v>
      </c>
      <c r="B5" s="1" t="s">
        <v>33</v>
      </c>
      <c r="C5" s="1" t="s">
        <v>76</v>
      </c>
      <c r="D5" s="1">
        <f>VLOOKUP(C5,Doctors!A:D,4,FALSE)</f>
        <v>953</v>
      </c>
      <c r="E5" s="1">
        <v>170</v>
      </c>
      <c r="F5" s="1">
        <f t="shared" si="0"/>
        <v>1123</v>
      </c>
      <c r="G5" s="1" t="str">
        <f>VLOOKUP(B5,Patients!A:F,2,FALSE)</f>
        <v>Sanjay</v>
      </c>
    </row>
    <row r="6" spans="1:7" x14ac:dyDescent="0.45">
      <c r="A6" s="1" t="s">
        <v>164</v>
      </c>
      <c r="B6" s="1" t="s">
        <v>44</v>
      </c>
      <c r="C6" s="1" t="s">
        <v>86</v>
      </c>
      <c r="D6" s="1">
        <f>VLOOKUP(C6,Doctors!A:D,4,FALSE)</f>
        <v>742</v>
      </c>
      <c r="E6" s="1">
        <v>447</v>
      </c>
      <c r="F6" s="1">
        <f t="shared" si="0"/>
        <v>1189</v>
      </c>
      <c r="G6" s="1" t="str">
        <f>VLOOKUP(B6,Patients!A:F,2,FALSE)</f>
        <v>Deepak</v>
      </c>
    </row>
    <row r="7" spans="1:7" x14ac:dyDescent="0.45">
      <c r="A7" s="1" t="s">
        <v>165</v>
      </c>
      <c r="B7" s="1" t="s">
        <v>19</v>
      </c>
      <c r="C7" s="1" t="s">
        <v>109</v>
      </c>
      <c r="D7" s="1">
        <f>VLOOKUP(C7,Doctors!A:D,4,FALSE)</f>
        <v>897</v>
      </c>
      <c r="E7" s="1">
        <v>376</v>
      </c>
      <c r="F7" s="1">
        <f t="shared" si="0"/>
        <v>1273</v>
      </c>
      <c r="G7" s="1" t="str">
        <f>VLOOKUP(B7,Patients!A:F,2,FALSE)</f>
        <v>Neha</v>
      </c>
    </row>
    <row r="8" spans="1:7" x14ac:dyDescent="0.45">
      <c r="A8" s="1" t="s">
        <v>166</v>
      </c>
      <c r="B8" s="1" t="s">
        <v>39</v>
      </c>
      <c r="C8" s="1" t="s">
        <v>101</v>
      </c>
      <c r="D8" s="1">
        <f>VLOOKUP(C8,Doctors!A:D,4,FALSE)</f>
        <v>903</v>
      </c>
      <c r="E8" s="1">
        <v>308</v>
      </c>
      <c r="F8" s="1">
        <f t="shared" si="0"/>
        <v>1211</v>
      </c>
      <c r="G8" s="1" t="str">
        <f>VLOOKUP(B8,Patients!A:F,2,FALSE)</f>
        <v>Arjun</v>
      </c>
    </row>
    <row r="9" spans="1:7" x14ac:dyDescent="0.45">
      <c r="A9" s="1" t="s">
        <v>167</v>
      </c>
      <c r="B9" s="1" t="s">
        <v>37</v>
      </c>
      <c r="C9" s="1" t="s">
        <v>95</v>
      </c>
      <c r="D9" s="1">
        <f>VLOOKUP(C9,Doctors!A:D,4,FALSE)</f>
        <v>690</v>
      </c>
      <c r="E9" s="1">
        <v>318</v>
      </c>
      <c r="F9" s="1">
        <f t="shared" si="0"/>
        <v>1008</v>
      </c>
      <c r="G9" s="1" t="str">
        <f>VLOOKUP(B9,Patients!A:F,2,FALSE)</f>
        <v>Kavita</v>
      </c>
    </row>
    <row r="10" spans="1:7" x14ac:dyDescent="0.45">
      <c r="A10" s="1" t="s">
        <v>168</v>
      </c>
      <c r="B10" s="1" t="s">
        <v>22</v>
      </c>
      <c r="C10" s="1" t="s">
        <v>74</v>
      </c>
      <c r="D10" s="1">
        <f>VLOOKUP(C10,Doctors!A:D,4,FALSE)</f>
        <v>313</v>
      </c>
      <c r="E10" s="1">
        <v>258</v>
      </c>
      <c r="F10" s="1">
        <f t="shared" si="0"/>
        <v>571</v>
      </c>
      <c r="G10" s="1" t="str">
        <f>VLOOKUP(B10,Patients!A:F,2,FALSE)</f>
        <v>Ravi</v>
      </c>
    </row>
    <row r="11" spans="1:7" x14ac:dyDescent="0.45">
      <c r="A11" s="1" t="s">
        <v>169</v>
      </c>
      <c r="B11" s="1" t="s">
        <v>42</v>
      </c>
      <c r="C11" s="1" t="s">
        <v>78</v>
      </c>
      <c r="D11" s="1">
        <f>VLOOKUP(C11,Doctors!A:D,4,FALSE)</f>
        <v>902</v>
      </c>
      <c r="E11" s="1">
        <v>263</v>
      </c>
      <c r="F11" s="1">
        <f t="shared" si="0"/>
        <v>1165</v>
      </c>
      <c r="G11" s="1" t="str">
        <f>VLOOKUP(B11,Patients!A:F,2,FALSE)</f>
        <v>Meena</v>
      </c>
    </row>
    <row r="12" spans="1:7" x14ac:dyDescent="0.45">
      <c r="A12" s="1" t="s">
        <v>170</v>
      </c>
      <c r="B12" s="1" t="s">
        <v>31</v>
      </c>
      <c r="C12" s="1" t="s">
        <v>74</v>
      </c>
      <c r="D12" s="1">
        <f>VLOOKUP(C12,Doctors!A:D,4,FALSE)</f>
        <v>313</v>
      </c>
      <c r="E12" s="1">
        <v>273</v>
      </c>
      <c r="F12" s="1">
        <f t="shared" si="0"/>
        <v>586</v>
      </c>
      <c r="G12" s="1" t="str">
        <f>VLOOKUP(B12,Patients!A:F,2,FALSE)</f>
        <v>Pooja</v>
      </c>
    </row>
    <row r="13" spans="1:7" x14ac:dyDescent="0.45">
      <c r="A13" s="1" t="s">
        <v>171</v>
      </c>
      <c r="B13" s="1" t="s">
        <v>37</v>
      </c>
      <c r="C13" s="1" t="s">
        <v>107</v>
      </c>
      <c r="D13" s="1">
        <f>VLOOKUP(C13,Doctors!A:D,4,FALSE)</f>
        <v>667</v>
      </c>
      <c r="E13" s="1">
        <v>197</v>
      </c>
      <c r="F13" s="1">
        <f t="shared" si="0"/>
        <v>864</v>
      </c>
      <c r="G13" s="1" t="str">
        <f>VLOOKUP(B13,Patients!A:F,2,FALSE)</f>
        <v>Kavita</v>
      </c>
    </row>
    <row r="14" spans="1:7" x14ac:dyDescent="0.45">
      <c r="A14" s="1" t="s">
        <v>172</v>
      </c>
      <c r="B14" s="1" t="s">
        <v>6</v>
      </c>
      <c r="C14" s="1" t="s">
        <v>97</v>
      </c>
      <c r="D14" s="1">
        <f>VLOOKUP(C14,Doctors!A:D,4,FALSE)</f>
        <v>630</v>
      </c>
      <c r="E14" s="1">
        <v>199</v>
      </c>
      <c r="F14" s="1">
        <f t="shared" si="0"/>
        <v>829</v>
      </c>
      <c r="G14" s="1" t="str">
        <f>VLOOKUP(B14,Patients!A:F,2,FALSE)</f>
        <v>Rahul</v>
      </c>
    </row>
    <row r="15" spans="1:7" x14ac:dyDescent="0.45">
      <c r="A15" s="1" t="s">
        <v>173</v>
      </c>
      <c r="B15" s="1" t="s">
        <v>44</v>
      </c>
      <c r="C15" s="1" t="s">
        <v>91</v>
      </c>
      <c r="D15" s="1">
        <f>VLOOKUP(C15,Doctors!A:D,4,FALSE)</f>
        <v>520</v>
      </c>
      <c r="E15" s="1">
        <v>222</v>
      </c>
      <c r="F15" s="1">
        <f t="shared" si="0"/>
        <v>742</v>
      </c>
      <c r="G15" s="1" t="str">
        <f>VLOOKUP(B15,Patients!A:F,2,FALSE)</f>
        <v>Deepak</v>
      </c>
    </row>
    <row r="16" spans="1:7" x14ac:dyDescent="0.45">
      <c r="A16" s="1" t="s">
        <v>174</v>
      </c>
      <c r="B16" s="1" t="s">
        <v>33</v>
      </c>
      <c r="C16" s="1" t="s">
        <v>81</v>
      </c>
      <c r="D16" s="1">
        <f>VLOOKUP(C16,Doctors!A:D,4,FALSE)</f>
        <v>878</v>
      </c>
      <c r="E16" s="1">
        <v>274</v>
      </c>
      <c r="F16" s="1">
        <f t="shared" si="0"/>
        <v>1152</v>
      </c>
      <c r="G16" s="1" t="str">
        <f>VLOOKUP(B16,Patients!A:F,2,FALSE)</f>
        <v>Sanjay</v>
      </c>
    </row>
    <row r="17" spans="1:7" x14ac:dyDescent="0.45">
      <c r="A17" s="1" t="s">
        <v>175</v>
      </c>
      <c r="B17" s="1" t="s">
        <v>19</v>
      </c>
      <c r="C17" s="1" t="s">
        <v>78</v>
      </c>
      <c r="D17" s="1">
        <f>VLOOKUP(C17,Doctors!A:D,4,FALSE)</f>
        <v>902</v>
      </c>
      <c r="E17" s="1">
        <v>147</v>
      </c>
      <c r="F17" s="1">
        <f t="shared" si="0"/>
        <v>1049</v>
      </c>
      <c r="G17" s="1" t="str">
        <f>VLOOKUP(B17,Patients!A:F,2,FALSE)</f>
        <v>Neha</v>
      </c>
    </row>
    <row r="18" spans="1:7" x14ac:dyDescent="0.45">
      <c r="A18" s="1" t="s">
        <v>176</v>
      </c>
      <c r="B18" s="1" t="s">
        <v>56</v>
      </c>
      <c r="C18" s="1" t="s">
        <v>78</v>
      </c>
      <c r="D18" s="1">
        <f>VLOOKUP(C18,Doctors!A:D,4,FALSE)</f>
        <v>902</v>
      </c>
      <c r="E18" s="1">
        <v>221</v>
      </c>
      <c r="F18" s="1">
        <f t="shared" si="0"/>
        <v>1123</v>
      </c>
      <c r="G18" s="1" t="str">
        <f>VLOOKUP(B18,Patients!A:F,2,FALSE)</f>
        <v>Nisha</v>
      </c>
    </row>
    <row r="19" spans="1:7" x14ac:dyDescent="0.45">
      <c r="A19" s="1" t="s">
        <v>177</v>
      </c>
      <c r="B19" s="1" t="s">
        <v>54</v>
      </c>
      <c r="C19" s="1" t="s">
        <v>78</v>
      </c>
      <c r="D19" s="1">
        <f>VLOOKUP(C19,Doctors!A:D,4,FALSE)</f>
        <v>902</v>
      </c>
      <c r="E19" s="1">
        <v>242</v>
      </c>
      <c r="F19" s="1">
        <f t="shared" si="0"/>
        <v>1144</v>
      </c>
      <c r="G19" s="1" t="str">
        <f>VLOOKUP(B19,Patients!A:F,2,FALSE)</f>
        <v>Mohit</v>
      </c>
    </row>
    <row r="20" spans="1:7" x14ac:dyDescent="0.45">
      <c r="A20" s="1" t="s">
        <v>178</v>
      </c>
      <c r="B20" s="1" t="s">
        <v>51</v>
      </c>
      <c r="C20" s="1" t="s">
        <v>69</v>
      </c>
      <c r="D20" s="1">
        <f>VLOOKUP(C20,Doctors!A:D,4,FALSE)</f>
        <v>987</v>
      </c>
      <c r="E20" s="1">
        <v>435</v>
      </c>
      <c r="F20" s="1">
        <f t="shared" si="0"/>
        <v>1422</v>
      </c>
      <c r="G20" s="1" t="str">
        <f>VLOOKUP(B20,Patients!A:F,2,FALSE)</f>
        <v>Ritika</v>
      </c>
    </row>
    <row r="21" spans="1:7" x14ac:dyDescent="0.45">
      <c r="A21" s="1" t="s">
        <v>179</v>
      </c>
      <c r="B21" s="1" t="s">
        <v>39</v>
      </c>
      <c r="C21" s="1" t="s">
        <v>81</v>
      </c>
      <c r="D21" s="1">
        <f>VLOOKUP(C21,Doctors!A:D,4,FALSE)</f>
        <v>878</v>
      </c>
      <c r="E21" s="1">
        <v>330</v>
      </c>
      <c r="F21" s="1">
        <f t="shared" si="0"/>
        <v>1208</v>
      </c>
      <c r="G21" s="1" t="str">
        <f>VLOOKUP(B21,Patients!A:F,2,FALSE)</f>
        <v>Arjun</v>
      </c>
    </row>
  </sheetData>
  <conditionalFormatting sqref="F2:F1048576">
    <cfRule type="cellIs" dxfId="0" priority="1" operator="greaterThan">
      <formula>1200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B1" sqref="B1"/>
    </sheetView>
  </sheetViews>
  <sheetFormatPr defaultRowHeight="14.25" x14ac:dyDescent="0.45"/>
  <cols>
    <col min="1" max="1" width="27.86328125" bestFit="1" customWidth="1"/>
    <col min="2" max="2" width="12.53125" bestFit="1" customWidth="1"/>
  </cols>
  <sheetData>
    <row r="1" spans="1:2" ht="30.75" x14ac:dyDescent="0.9">
      <c r="A1" s="2" t="s">
        <v>180</v>
      </c>
      <c r="B1" s="3">
        <f>SUM(Billing!F2:F21)</f>
        <v>19778</v>
      </c>
    </row>
    <row r="2" spans="1:2" ht="30.75" x14ac:dyDescent="0.9">
      <c r="A2" s="2" t="s">
        <v>181</v>
      </c>
      <c r="B2" s="3">
        <f>AVERAGE(Billing!F2:F21)</f>
        <v>988.9</v>
      </c>
    </row>
    <row r="3" spans="1:2" ht="30.75" x14ac:dyDescent="0.9">
      <c r="A3" s="2" t="s">
        <v>182</v>
      </c>
      <c r="B3" s="3">
        <f>MAX(Billing!F2:F21)</f>
        <v>1422</v>
      </c>
    </row>
    <row r="4" spans="1:2" ht="30.75" x14ac:dyDescent="0.9">
      <c r="A4" s="2" t="s">
        <v>183</v>
      </c>
      <c r="B4" s="3">
        <f>MIN(Billing!F2:F21)</f>
        <v>466</v>
      </c>
    </row>
    <row r="5" spans="1:2" ht="30.75" x14ac:dyDescent="0.9">
      <c r="A5" s="2" t="s">
        <v>184</v>
      </c>
      <c r="B5" s="3">
        <f>COUNTA(Patients!A2:A21)</f>
        <v>20</v>
      </c>
    </row>
    <row r="6" spans="1:2" ht="30.75" x14ac:dyDescent="0.9">
      <c r="A6" s="2" t="s">
        <v>185</v>
      </c>
      <c r="B6" s="3">
        <f>COUNTIF(Appointments!E2:E21,"Done")</f>
        <v>5</v>
      </c>
    </row>
    <row r="7" spans="1:2" ht="30.75" x14ac:dyDescent="0.9">
      <c r="A7" s="4"/>
      <c r="B7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Doctors</vt:lpstr>
      <vt:lpstr>Appointments</vt:lpstr>
      <vt:lpstr>Billing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Arshi Raj</cp:lastModifiedBy>
  <dcterms:created xsi:type="dcterms:W3CDTF">2026-04-14T16:11:35Z</dcterms:created>
  <dcterms:modified xsi:type="dcterms:W3CDTF">2026-04-15T06:35:36Z</dcterms:modified>
</cp:coreProperties>
</file>